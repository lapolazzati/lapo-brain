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ntt" sheetId="2" state="visible" r:id="rId4"/>
    <sheet name="Workstreams" sheetId="3" state="visible" r:id="rId5"/>
    <sheet name="Action Items" sheetId="4" state="visible" r:id="rId6"/>
  </sheets>
  <definedNames>
    <definedName function="false" hidden="true" localSheetId="3" name="_xlnm._FilterDatabase" vbProcedure="false">'Action Items'!$A$3:$G$32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<sst xmlns="http://schemas.openxmlformats.org/spreadsheetml/2006/main" count="387" uniqueCount="154">
  <si>
    <t xml:space="preserve">CEG Italia — Project Management Dashboard</t>
  </si>
  <si>
    <t xml:space="preserve">Last updated: May 07, 2026  |  Owner: Lapo Lazzati  |  Counterpart: Stephen Tanico (CEG)</t>
  </si>
  <si>
    <t xml:space="preserve">Active Workstreams</t>
  </si>
  <si>
    <t xml:space="preserve">Open Action Items</t>
  </si>
  <si>
    <t xml:space="preserve">Due This Week</t>
  </si>
  <si>
    <t xml:space="preserve">Overdue</t>
  </si>
  <si>
    <t xml:space="preserve">ID</t>
  </si>
  <si>
    <t xml:space="preserve">Workstream</t>
  </si>
  <si>
    <t xml:space="preserve">Priority</t>
  </si>
  <si>
    <t xml:space="preserve">Owner</t>
  </si>
  <si>
    <t xml:space="preserve">Status</t>
  </si>
  <si>
    <t xml:space="preserve">Deadline</t>
  </si>
  <si>
    <t xml:space="preserve">Start</t>
  </si>
  <si>
    <t xml:space="preserve">End</t>
  </si>
  <si>
    <t xml:space="preserve">WS1</t>
  </si>
  <si>
    <t xml:space="preserve">Commercial Terms (Retainer + 7% Fee)</t>
  </si>
  <si>
    <t xml:space="preserve">P1</t>
  </si>
  <si>
    <t xml:space="preserve">Steve + Lapo</t>
  </si>
  <si>
    <t xml:space="preserve">In Progress</t>
  </si>
  <si>
    <t xml:space="preserve">2026-05-22</t>
  </si>
  <si>
    <t xml:space="preserve">WS2</t>
  </si>
  <si>
    <t xml:space="preserve">Voluntary Cleanup - Industrial Pipeline</t>
  </si>
  <si>
    <t xml:space="preserve">P2</t>
  </si>
  <si>
    <t xml:space="preserve">Lapo</t>
  </si>
  <si>
    <t xml:space="preserve">Ongoing</t>
  </si>
  <si>
    <t xml:space="preserve">WS3</t>
  </si>
  <si>
    <t xml:space="preserve">Cementificio Luca - First Live Prospect</t>
  </si>
  <si>
    <t xml:space="preserve">Not Started</t>
  </si>
  <si>
    <t xml:space="preserve">2026-05-14</t>
  </si>
  <si>
    <t xml:space="preserve">WS4</t>
  </si>
  <si>
    <t xml:space="preserve">Brenelli - Voluntary Referral Pipeline</t>
  </si>
  <si>
    <t xml:space="preserve">2026-05-21</t>
  </si>
  <si>
    <t xml:space="preserve">WS5</t>
  </si>
  <si>
    <t xml:space="preserve">Mandated Cleanup - ARPA Approval Pathway</t>
  </si>
  <si>
    <t xml:space="preserve">P3</t>
  </si>
  <si>
    <t xml:space="preserve">2026-06-04</t>
  </si>
  <si>
    <t xml:space="preserve">WS6</t>
  </si>
  <si>
    <t xml:space="preserve">Entity Setup + Liability Insurance</t>
  </si>
  <si>
    <t xml:space="preserve">2026-06-07</t>
  </si>
  <si>
    <t xml:space="preserve">WS7</t>
  </si>
  <si>
    <t xml:space="preserve">Satellite Intelligence Partnership</t>
  </si>
  <si>
    <t xml:space="preserve">P4</t>
  </si>
  <si>
    <t xml:space="preserve">2026-06-30</t>
  </si>
  <si>
    <t xml:space="preserve">WS8</t>
  </si>
  <si>
    <t xml:space="preserve">RDC Local Manufacturing</t>
  </si>
  <si>
    <t xml:space="preserve">Lapo + CEG</t>
  </si>
  <si>
    <t xml:space="preserve">Initial Contact Made</t>
  </si>
  <si>
    <t xml:space="preserve">2026-08-15</t>
  </si>
  <si>
    <t xml:space="preserve">WS9</t>
  </si>
  <si>
    <t xml:space="preserve">Turkey / Istanbul Expansion</t>
  </si>
  <si>
    <t xml:space="preserve">P5</t>
  </si>
  <si>
    <t xml:space="preserve">On Hold</t>
  </si>
  <si>
    <t xml:space="preserve">2026-09-30</t>
  </si>
  <si>
    <t xml:space="preserve">Status legend</t>
  </si>
  <si>
    <t xml:space="preserve">Priority legend</t>
  </si>
  <si>
    <t xml:space="preserve">Done</t>
  </si>
  <si>
    <t xml:space="preserve">Completed</t>
  </si>
  <si>
    <t xml:space="preserve">Critical / blocking</t>
  </si>
  <si>
    <t xml:space="preserve">Active work</t>
  </si>
  <si>
    <t xml:space="preserve">High - active sales</t>
  </si>
  <si>
    <t xml:space="preserve">Queued</t>
  </si>
  <si>
    <t xml:space="preserve">Medium - infra</t>
  </si>
  <si>
    <t xml:space="preserve">Paused / dependency</t>
  </si>
  <si>
    <t xml:space="preserve">Normal - partnerships</t>
  </si>
  <si>
    <t xml:space="preserve">Blocked</t>
  </si>
  <si>
    <t xml:space="preserve">Blocked / overdue</t>
  </si>
  <si>
    <t xml:space="preserve">Future / dependent</t>
  </si>
  <si>
    <t xml:space="preserve">CEG Italia — Gantt Chart</t>
  </si>
  <si>
    <t xml:space="preserve">Timeline: May 04, 2026 — Sep 18, 2026  ·  Each column = 1 week</t>
  </si>
  <si>
    <t xml:space="preserve">◀ TODAY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</si>
  <si>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</si>
  <si>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</si>
  <si>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</si>
  <si>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</si>
  <si>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</si>
  <si>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Workstream Definitions</t>
  </si>
  <si>
    <t xml:space="preserve">Notes / Strategic Context</t>
  </si>
  <si>
    <t xml:space="preserve">BLOCKING: must close before any client-facing move. Term sheet covers retainer, fee basis, exclusivity scope (Italy vs Mediterranean), expense policy.</t>
  </si>
  <si>
    <t xml:space="preserve">Entry segment. Lawyer-led intros (Brenelli) + commercialisti channel. Focus: cement, chemical, fuel stations.</t>
  </si>
  <si>
    <t xml:space="preserve">Confirm company name, contaminant type, site size. Could be first paid feasibility.</t>
  </si>
  <si>
    <t xml:space="preserve">Scope intent + collaboration structure with criminal env lawyer. Highest-leverage channel.</t>
  </si>
  <si>
    <t xml:space="preserve">Decide path: senior geologist vs. Luca institutional contact. Map CEG US regulatory dossier for ARPA adaptation. Don't pitch this segment until path is clear.</t>
  </si>
  <si>
    <t xml:space="preserve">S.r.l. entity, RC professionale quote, commercialista consult, ~€100K capital plan. Required before Istanbul.</t>
  </si>
  <si>
    <t xml:space="preserve">Scoping call → coverage, commercial model. Before/after CEG project validation. Brenelli on legal framing.</t>
  </si>
  <si>
    <t xml:space="preserve">BioBlend + ISCO formulation specs, IP/licensing constraints, quality requirements.</t>
  </si>
  <si>
    <t xml:space="preserve">DEPENDS ON WS1 + WS6. Don't initiate before terms + entity. Frame as regional partner, not CEG-branded.</t>
  </si>
  <si>
    <t xml:space="preserve">Action Items — Granular Tasks</t>
  </si>
  <si>
    <t xml:space="preserve">WS</t>
  </si>
  <si>
    <t xml:space="preserve">Task</t>
  </si>
  <si>
    <t xml:space="preserve">Due Date</t>
  </si>
  <si>
    <t xml:space="preserve">Days to Due</t>
  </si>
  <si>
    <t xml:space="preserve">Notes</t>
  </si>
  <si>
    <t xml:space="preserve">Draft term sheet covering retainer (€4K/mo) + 7% introducer fee + Italy exclusivity + expense policy</t>
  </si>
  <si>
    <t xml:space="preserve">Define fee basis: CEG contract value vs Lapo-introduced portion only</t>
  </si>
  <si>
    <t xml:space="preserve">Steve review + sign side letter</t>
  </si>
  <si>
    <t xml:space="preserve">Steve</t>
  </si>
  <si>
    <t xml:space="preserve">Blocking gate for all downstream activity</t>
  </si>
  <si>
    <t xml:space="preserve">Build target list: cement + chemical + fuel station polluters (channel partner shortlist)</t>
  </si>
  <si>
    <t xml:space="preserve">Reference Channel Partners shortlist sheet</t>
  </si>
  <si>
    <t xml:space="preserve">Define CEG voluntary-client offering (bench test entry, scoping call, prelim estimate)</t>
  </si>
  <si>
    <t xml:space="preserve">CEG</t>
  </si>
  <si>
    <t xml:space="preserve">Need pricing tiers and SLA for first contact</t>
  </si>
  <si>
    <t xml:space="preserve">Set up commercialisti channel funnel (Di Salvo, Rizzi)</t>
  </si>
  <si>
    <t xml:space="preserve">Tax DD as early warning system for contaminated sites</t>
  </si>
  <si>
    <t xml:space="preserve">Get full company name + contaminant type + approx site size from Luca</t>
  </si>
  <si>
    <t xml:space="preserve">Priority 3 in original doc</t>
  </si>
  <si>
    <t xml:space="preserve">Send 1-pager + CEG capability dossier to Luca</t>
  </si>
  <si>
    <t xml:space="preserve">Adapt from CEG US materials</t>
  </si>
  <si>
    <t xml:space="preserve">Schedule technical scoping call (CEG + Luca + Lapo)</t>
  </si>
  <si>
    <t xml:space="preserve">Confirm bench test feasibility</t>
  </si>
  <si>
    <t xml:space="preserve">Initial scoping call with Brenelli</t>
  </si>
  <si>
    <t xml:space="preserve">Volume of voluntary remediation inquiries, willingness to refer</t>
  </si>
  <si>
    <t xml:space="preserve">Propose referral / collaboration structure to Brenelli</t>
  </si>
  <si>
    <t xml:space="preserve">Fee share or co-branded approach</t>
  </si>
  <si>
    <t xml:space="preserve">Identify senior geologist with active ARPA relationships</t>
  </si>
  <si>
    <t xml:space="preserve">Alternative path to Luca's institutional contact</t>
  </si>
  <si>
    <t xml:space="preserve">Decision: geologist path vs. Luca institutional contact</t>
  </si>
  <si>
    <t xml:space="preserve">Priority 4 in original doc</t>
  </si>
  <si>
    <t xml:space="preserve">Map CEG US regulatory dossiers usable for ARPA submission</t>
  </si>
  <si>
    <t xml:space="preserve">Piano di Caratterizzazione, Analisi di Rischio, Piano di Bonifica equivalents</t>
  </si>
  <si>
    <t xml:space="preserve">Identify Italian env-law specialist for documentation adaptation</t>
  </si>
  <si>
    <t xml:space="preserve">Lapo + Steve</t>
  </si>
  <si>
    <t xml:space="preserve">Different from Brenelli (criminal side)</t>
  </si>
  <si>
    <t xml:space="preserve">Confirm whether CEG insurance extends to Italian projects</t>
  </si>
  <si>
    <t xml:space="preserve">Critical input for our liability gap</t>
  </si>
  <si>
    <t xml:space="preserve">Get RC professionale quote for env tech intermediary</t>
  </si>
  <si>
    <t xml:space="preserve">Italian broker; not executing party, only intermediary</t>
  </si>
  <si>
    <t xml:space="preserve">Commercialista consult: S.r.l. vs holding structure (Italy + Turkey)</t>
  </si>
  <si>
    <t xml:space="preserve">Liability ring-fencing + intl expansion</t>
  </si>
  <si>
    <t xml:space="preserve">Investment breakdown + funding allocation (~€100K)</t>
  </si>
  <si>
    <t xml:space="preserve">Who funds what</t>
  </si>
  <si>
    <t xml:space="preserve">Open S.r.l. entity</t>
  </si>
  <si>
    <t xml:space="preserve">Triggered after structure decision</t>
  </si>
  <si>
    <t xml:space="preserve">Scoping call with satellite contact (coverage, commercial model)</t>
  </si>
  <si>
    <t xml:space="preserve">Polluter ID + before/after verification</t>
  </si>
  <si>
    <t xml:space="preserve">Pull historical CEG project sites for satellite validation case study</t>
  </si>
  <si>
    <t xml:space="preserve">Independent third-party validation asset</t>
  </si>
  <si>
    <t xml:space="preserve">Brenelli: legal framing for polluter outreach via satellite intel</t>
  </si>
  <si>
    <t xml:space="preserve">Avoid adversarial trigger</t>
  </si>
  <si>
    <t xml:space="preserve">Request BioBlend + ISCO technical specs from CEG</t>
  </si>
  <si>
    <t xml:space="preserve">Subject to IP review</t>
  </si>
  <si>
    <t xml:space="preserve">CEG: IP/licensing constraints assessment for third-party formulation</t>
  </si>
  <si>
    <t xml:space="preserve">Has CEG done this in other markets?</t>
  </si>
  <si>
    <t xml:space="preserve">RDC quality + handling capability assessment (ISO 9001/14001/45001)</t>
  </si>
  <si>
    <t xml:space="preserve">Verify they can hit CEG specs</t>
  </si>
  <si>
    <t xml:space="preserve">Draft local manufacturing term sheet w/ RDC</t>
  </si>
  <si>
    <t xml:space="preserve">License / transfer / margin model</t>
  </si>
  <si>
    <t xml:space="preserve">Hold Istanbul contact warm (no pitch)</t>
  </si>
  <si>
    <t xml:space="preserve">—</t>
  </si>
  <si>
    <t xml:space="preserve">DO NOT initiate before WS1 + WS6 closed</t>
  </si>
  <si>
    <t xml:space="preserve">Draft Istanbul one-pager (regional partner framing)</t>
  </si>
  <si>
    <t xml:space="preserve">After commercial terms agreed</t>
  </si>
  <si>
    <t xml:space="preserve">Initial Istanbul call (entity authority)</t>
  </si>
  <si>
    <t xml:space="preserve">Position as regional tech partner, not CEG-branded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</si>
</sst>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m\-dd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C00000"/>
        <bgColor rgb="FF9C0006"/>
      </patternFill>
    </fill>
    <fill>
      <patternFill patternType="solid">
        <fgColor rgb="FFFFEB9C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D9E1F2"/>
      </patternFill>
    </fill>
    <fill>
      <patternFill patternType="solid">
        <fgColor rgb="FF548235"/>
        <bgColor rgb="FF339966"/>
      </patternFill>
    </fill>
    <fill>
      <patternFill patternType="solid">
        <fgColor rgb="FFFFC7CE"/>
        <bgColor rgb="FFD9D9D9"/>
      </patternFill>
    </fill>
    <fill>
      <patternFill patternType="solid">
        <fgColor rgb="FF808080"/>
        <bgColor rgb="FF969696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35" hidden="false" customHeight="false" outlineLevel="0" collapsed="false">
      <c r="A4" s="3" t="s">
        <v>2</v>
      </c>
      <c r="B4" s="4" t="n">
        <f aca="false">COUNTA(Workstreams!B4:B12)</f>
        <v>9</v>
      </c>
      <c r="C4" s="3" t="s">
        <v>3</v>
      </c>
      <c r="D4" s="4" t="n">
        <f aca="false">COUNTIF('Action Items'!E4:E32,"&lt;&gt;Done")</f>
        <v>29</v>
      </c>
      <c r="E4" s="3" t="s">
        <v>4</v>
      </c>
      <c r="F4" s="4" t="n">
        <f aca="true">SUMPRODUCT(('Action Items'!D4:D32&gt;=TODAY())*('Action Items'!D4:D32&lt;=TODAY()+7)*('Action Items'!E4:E32&lt;&gt;"Done"))</f>
        <v>1</v>
      </c>
      <c r="G4" s="3" t="s">
        <v>5</v>
      </c>
      <c r="H4" s="4" t="n">
        <f aca="true">SUMPRODUCT(('Action Items'!D4:D32&lt;TODAY())*('Action Items'!E4:E32&lt;&gt;"Done")*('Action Items'!D4:D32&gt;0))</f>
        <v>0</v>
      </c>
    </row>
    <row r="6" customFormat="false" ht="21.7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</row>
    <row r="7" customFormat="false" ht="15" hidden="false" customHeight="false" outlineLevel="0" collapsed="false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7" t="n">
        <v>46146</v>
      </c>
      <c r="H7" s="7" t="n">
        <v>46164</v>
      </c>
    </row>
    <row r="8" customFormat="false" ht="15" hidden="false" customHeight="false" outlineLevel="0" collapsed="false">
      <c r="A8" s="6" t="s">
        <v>20</v>
      </c>
      <c r="B8" s="6" t="s">
        <v>21</v>
      </c>
      <c r="C8" s="6" t="s">
        <v>22</v>
      </c>
      <c r="D8" s="6" t="s">
        <v>23</v>
      </c>
      <c r="E8" s="6" t="s">
        <v>18</v>
      </c>
      <c r="F8" s="6" t="s">
        <v>24</v>
      </c>
      <c r="G8" s="7" t="n">
        <v>46146</v>
      </c>
      <c r="H8" s="7" t="n">
        <v>46234</v>
      </c>
    </row>
    <row r="9" customFormat="false" ht="15" hidden="false" customHeight="false" outlineLevel="0" collapsed="false">
      <c r="A9" s="6" t="s">
        <v>25</v>
      </c>
      <c r="B9" s="6" t="s">
        <v>26</v>
      </c>
      <c r="C9" s="6" t="s">
        <v>22</v>
      </c>
      <c r="D9" s="6" t="s">
        <v>23</v>
      </c>
      <c r="E9" s="6" t="s">
        <v>27</v>
      </c>
      <c r="F9" s="6" t="s">
        <v>28</v>
      </c>
      <c r="G9" s="7" t="n">
        <v>46146</v>
      </c>
      <c r="H9" s="7" t="n">
        <v>46157</v>
      </c>
    </row>
    <row r="10" customFormat="false" ht="15" hidden="false" customHeight="false" outlineLevel="0" collapsed="false">
      <c r="A10" s="6" t="s">
        <v>29</v>
      </c>
      <c r="B10" s="6" t="s">
        <v>30</v>
      </c>
      <c r="C10" s="6" t="s">
        <v>22</v>
      </c>
      <c r="D10" s="6" t="s">
        <v>23</v>
      </c>
      <c r="E10" s="6" t="s">
        <v>27</v>
      </c>
      <c r="F10" s="6" t="s">
        <v>31</v>
      </c>
      <c r="G10" s="7" t="n">
        <v>46146</v>
      </c>
      <c r="H10" s="7" t="n">
        <v>46164</v>
      </c>
    </row>
    <row r="11" customFormat="false" ht="15" hidden="false" customHeight="false" outlineLevel="0" collapsed="false">
      <c r="A11" s="6" t="s">
        <v>32</v>
      </c>
      <c r="B11" s="6" t="s">
        <v>33</v>
      </c>
      <c r="C11" s="6" t="s">
        <v>34</v>
      </c>
      <c r="D11" s="6" t="s">
        <v>17</v>
      </c>
      <c r="E11" s="6" t="s">
        <v>27</v>
      </c>
      <c r="F11" s="6" t="s">
        <v>35</v>
      </c>
      <c r="G11" s="7" t="n">
        <v>46153</v>
      </c>
      <c r="H11" s="7" t="n">
        <v>46206</v>
      </c>
    </row>
    <row r="12" customFormat="false" ht="15" hidden="false" customHeight="false" outlineLevel="0" collapsed="false">
      <c r="A12" s="6" t="s">
        <v>36</v>
      </c>
      <c r="B12" s="6" t="s">
        <v>37</v>
      </c>
      <c r="C12" s="6" t="s">
        <v>34</v>
      </c>
      <c r="D12" s="6" t="s">
        <v>23</v>
      </c>
      <c r="E12" s="6" t="s">
        <v>27</v>
      </c>
      <c r="F12" s="6" t="s">
        <v>38</v>
      </c>
      <c r="G12" s="7" t="n">
        <v>46153</v>
      </c>
      <c r="H12" s="7" t="n">
        <v>46192</v>
      </c>
    </row>
    <row r="13" customFormat="false" ht="15" hidden="false" customHeight="false" outlineLevel="0" collapsed="false">
      <c r="A13" s="6" t="s">
        <v>39</v>
      </c>
      <c r="B13" s="6" t="s">
        <v>40</v>
      </c>
      <c r="C13" s="6" t="s">
        <v>41</v>
      </c>
      <c r="D13" s="6" t="s">
        <v>23</v>
      </c>
      <c r="E13" s="6" t="s">
        <v>27</v>
      </c>
      <c r="F13" s="6" t="s">
        <v>42</v>
      </c>
      <c r="G13" s="7" t="n">
        <v>46160</v>
      </c>
      <c r="H13" s="7" t="n">
        <v>46206</v>
      </c>
    </row>
    <row r="14" customFormat="false" ht="15" hidden="false" customHeight="false" outlineLevel="0" collapsed="false">
      <c r="A14" s="6" t="s">
        <v>43</v>
      </c>
      <c r="B14" s="6" t="s">
        <v>44</v>
      </c>
      <c r="C14" s="6" t="s">
        <v>41</v>
      </c>
      <c r="D14" s="6" t="s">
        <v>45</v>
      </c>
      <c r="E14" s="6" t="s">
        <v>46</v>
      </c>
      <c r="F14" s="6" t="s">
        <v>47</v>
      </c>
      <c r="G14" s="7" t="n">
        <v>46167</v>
      </c>
      <c r="H14" s="7" t="n">
        <v>46248</v>
      </c>
    </row>
    <row r="15" customFormat="false" ht="15" hidden="false" customHeight="false" outlineLevel="0" collapsed="false">
      <c r="A15" s="6" t="s">
        <v>48</v>
      </c>
      <c r="B15" s="6" t="s">
        <v>49</v>
      </c>
      <c r="C15" s="6" t="s">
        <v>50</v>
      </c>
      <c r="D15" s="6" t="s">
        <v>23</v>
      </c>
      <c r="E15" s="6" t="s">
        <v>51</v>
      </c>
      <c r="F15" s="6" t="s">
        <v>52</v>
      </c>
      <c r="G15" s="7" t="n">
        <v>46174</v>
      </c>
      <c r="H15" s="7" t="n">
        <v>46262</v>
      </c>
    </row>
    <row r="18" customFormat="false" ht="15" hidden="false" customHeight="false" outlineLevel="0" collapsed="false">
      <c r="A18" s="8" t="s">
        <v>53</v>
      </c>
      <c r="D18" s="8" t="s">
        <v>54</v>
      </c>
    </row>
    <row r="19" customFormat="false" ht="15" hidden="false" customHeight="false" outlineLevel="0" collapsed="false">
      <c r="A19" s="9" t="s">
        <v>55</v>
      </c>
      <c r="B19" s="10" t="s">
        <v>56</v>
      </c>
      <c r="D19" s="11" t="s">
        <v>16</v>
      </c>
      <c r="E19" s="10" t="s">
        <v>57</v>
      </c>
    </row>
    <row r="20" customFormat="false" ht="15" hidden="false" customHeight="false" outlineLevel="0" collapsed="false">
      <c r="A20" s="12" t="s">
        <v>18</v>
      </c>
      <c r="B20" s="10" t="s">
        <v>58</v>
      </c>
      <c r="D20" s="13" t="s">
        <v>22</v>
      </c>
      <c r="E20" s="10" t="s">
        <v>59</v>
      </c>
    </row>
    <row r="21" customFormat="false" ht="15" hidden="false" customHeight="false" outlineLevel="0" collapsed="false">
      <c r="A21" s="14" t="s">
        <v>27</v>
      </c>
      <c r="B21" s="10" t="s">
        <v>60</v>
      </c>
      <c r="D21" s="15" t="s">
        <v>34</v>
      </c>
      <c r="E21" s="10" t="s">
        <v>61</v>
      </c>
    </row>
    <row r="22" customFormat="false" ht="15" hidden="false" customHeight="false" outlineLevel="0" collapsed="false">
      <c r="A22" s="16" t="s">
        <v>51</v>
      </c>
      <c r="B22" s="10" t="s">
        <v>62</v>
      </c>
      <c r="D22" s="17" t="s">
        <v>41</v>
      </c>
      <c r="E22" s="10" t="s">
        <v>63</v>
      </c>
    </row>
    <row r="23" customFormat="false" ht="15" hidden="false" customHeight="false" outlineLevel="0" collapsed="false">
      <c r="A23" s="18" t="s">
        <v>64</v>
      </c>
      <c r="B23" s="10" t="s">
        <v>65</v>
      </c>
      <c r="D23" s="19" t="s">
        <v>50</v>
      </c>
      <c r="E23" s="10" t="s">
        <v>66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27" min="8" style="0" width="5"/>
  </cols>
  <sheetData>
    <row r="1" customFormat="false" ht="19.7" hidden="false" customHeight="false" outlineLevel="0" collapsed="false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15" hidden="false" customHeight="fals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H3" s="21" t="s">
        <v>69</v>
      </c>
    </row>
    <row r="4" customFormat="false" ht="18" hidden="false" customHeight="true" outlineLevel="0" collapsed="false">
      <c r="A4" s="22"/>
      <c r="B4" s="22"/>
      <c r="C4" s="22"/>
      <c r="D4" s="22"/>
      <c r="E4" s="22"/>
      <c r="F4" s="22"/>
      <c r="G4" s="22"/>
      <c r="H4" s="23" t="s">
        <v>70</v>
      </c>
      <c r="I4" s="24"/>
      <c r="J4" s="24"/>
      <c r="K4" s="24"/>
      <c r="L4" s="24" t="s">
        <v>71</v>
      </c>
      <c r="M4" s="24"/>
      <c r="N4" s="24"/>
      <c r="O4" s="24"/>
      <c r="P4" s="24"/>
      <c r="Q4" s="24" t="s">
        <v>72</v>
      </c>
      <c r="R4" s="24"/>
      <c r="S4" s="24"/>
      <c r="T4" s="24"/>
      <c r="U4" s="24" t="s">
        <v>73</v>
      </c>
      <c r="V4" s="24"/>
      <c r="W4" s="24"/>
      <c r="X4" s="24"/>
      <c r="Y4" s="24"/>
      <c r="Z4" s="24" t="s">
        <v>74</v>
      </c>
      <c r="AA4" s="24"/>
    </row>
    <row r="5" customFormat="false" ht="21.75" hidden="false" customHeight="true" outlineLevel="0" collapsed="false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12</v>
      </c>
      <c r="G5" s="25" t="s">
        <v>13</v>
      </c>
      <c r="H5" s="26" t="n">
        <v>46146</v>
      </c>
      <c r="I5" s="27" t="n">
        <v>46153</v>
      </c>
      <c r="J5" s="27" t="n">
        <v>46160</v>
      </c>
      <c r="K5" s="27" t="n">
        <v>46167</v>
      </c>
      <c r="L5" s="27" t="n">
        <v>46174</v>
      </c>
      <c r="M5" s="27" t="n">
        <v>46181</v>
      </c>
      <c r="N5" s="27" t="n">
        <v>46188</v>
      </c>
      <c r="O5" s="27" t="n">
        <v>46195</v>
      </c>
      <c r="P5" s="27" t="n">
        <v>46202</v>
      </c>
      <c r="Q5" s="27" t="n">
        <v>46209</v>
      </c>
      <c r="R5" s="27" t="n">
        <v>46216</v>
      </c>
      <c r="S5" s="27" t="n">
        <v>46223</v>
      </c>
      <c r="T5" s="27" t="n">
        <v>46230</v>
      </c>
      <c r="U5" s="27" t="n">
        <v>46237</v>
      </c>
      <c r="V5" s="27" t="n">
        <v>46244</v>
      </c>
      <c r="W5" s="27" t="n">
        <v>46251</v>
      </c>
      <c r="X5" s="27" t="n">
        <v>46258</v>
      </c>
      <c r="Y5" s="27" t="n">
        <v>46265</v>
      </c>
      <c r="Z5" s="27" t="n">
        <v>46272</v>
      </c>
      <c r="AA5" s="27" t="n">
        <v>46279</v>
      </c>
    </row>
    <row r="6" customFormat="false" ht="27.75" hidden="false" customHeight="true" outlineLevel="0" collapsed="false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n">
        <v>46146</v>
      </c>
      <c r="G6" s="7" t="n">
        <v>46164</v>
      </c>
      <c r="H6" s="28" t="s">
        <v>16</v>
      </c>
      <c r="I6" s="29"/>
      <c r="J6" s="29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customFormat="false" ht="27.75" hidden="false" customHeight="true" outlineLevel="0" collapsed="false">
      <c r="A7" s="6" t="s">
        <v>20</v>
      </c>
      <c r="B7" s="6" t="s">
        <v>21</v>
      </c>
      <c r="C7" s="6" t="s">
        <v>22</v>
      </c>
      <c r="D7" s="6" t="s">
        <v>23</v>
      </c>
      <c r="E7" s="6" t="s">
        <v>18</v>
      </c>
      <c r="F7" s="7" t="n">
        <v>46146</v>
      </c>
      <c r="G7" s="7" t="n">
        <v>46234</v>
      </c>
      <c r="H7" s="31" t="s">
        <v>22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0"/>
      <c r="V7" s="30"/>
      <c r="W7" s="30"/>
      <c r="X7" s="30"/>
      <c r="Y7" s="30"/>
      <c r="Z7" s="30"/>
      <c r="AA7" s="30"/>
    </row>
    <row r="8" customFormat="false" ht="27.75" hidden="false" customHeight="true" outlineLevel="0" collapsed="false">
      <c r="A8" s="6" t="s">
        <v>25</v>
      </c>
      <c r="B8" s="6" t="s">
        <v>26</v>
      </c>
      <c r="C8" s="6" t="s">
        <v>22</v>
      </c>
      <c r="D8" s="6" t="s">
        <v>23</v>
      </c>
      <c r="E8" s="6" t="s">
        <v>27</v>
      </c>
      <c r="F8" s="7" t="n">
        <v>46146</v>
      </c>
      <c r="G8" s="7" t="n">
        <v>46157</v>
      </c>
      <c r="H8" s="31" t="s">
        <v>22</v>
      </c>
      <c r="I8" s="32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customFormat="false" ht="27.75" hidden="false" customHeight="true" outlineLevel="0" collapsed="false">
      <c r="A9" s="6" t="s">
        <v>29</v>
      </c>
      <c r="B9" s="6" t="s">
        <v>30</v>
      </c>
      <c r="C9" s="6" t="s">
        <v>22</v>
      </c>
      <c r="D9" s="6" t="s">
        <v>23</v>
      </c>
      <c r="E9" s="6" t="s">
        <v>27</v>
      </c>
      <c r="F9" s="7" t="n">
        <v>46146</v>
      </c>
      <c r="G9" s="7" t="n">
        <v>46164</v>
      </c>
      <c r="H9" s="31" t="s">
        <v>22</v>
      </c>
      <c r="I9" s="32"/>
      <c r="J9" s="32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customFormat="false" ht="27.75" hidden="false" customHeight="true" outlineLevel="0" collapsed="false">
      <c r="A10" s="6" t="s">
        <v>32</v>
      </c>
      <c r="B10" s="6" t="s">
        <v>33</v>
      </c>
      <c r="C10" s="6" t="s">
        <v>34</v>
      </c>
      <c r="D10" s="6" t="s">
        <v>17</v>
      </c>
      <c r="E10" s="6" t="s">
        <v>27</v>
      </c>
      <c r="F10" s="7" t="n">
        <v>46153</v>
      </c>
      <c r="G10" s="7" t="n">
        <v>46206</v>
      </c>
      <c r="H10" s="33"/>
      <c r="I10" s="34" t="s">
        <v>34</v>
      </c>
      <c r="J10" s="35"/>
      <c r="K10" s="35"/>
      <c r="L10" s="35"/>
      <c r="M10" s="35"/>
      <c r="N10" s="35"/>
      <c r="O10" s="35"/>
      <c r="P10" s="35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customFormat="false" ht="27.75" hidden="false" customHeight="true" outlineLevel="0" collapsed="false">
      <c r="A11" s="6" t="s">
        <v>36</v>
      </c>
      <c r="B11" s="6" t="s">
        <v>37</v>
      </c>
      <c r="C11" s="6" t="s">
        <v>34</v>
      </c>
      <c r="D11" s="6" t="s">
        <v>23</v>
      </c>
      <c r="E11" s="6" t="s">
        <v>27</v>
      </c>
      <c r="F11" s="7" t="n">
        <v>46153</v>
      </c>
      <c r="G11" s="7" t="n">
        <v>46192</v>
      </c>
      <c r="H11" s="33"/>
      <c r="I11" s="34" t="s">
        <v>34</v>
      </c>
      <c r="J11" s="35"/>
      <c r="K11" s="35"/>
      <c r="L11" s="35"/>
      <c r="M11" s="35"/>
      <c r="N11" s="35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customFormat="false" ht="27.75" hidden="false" customHeight="true" outlineLevel="0" collapsed="false">
      <c r="A12" s="6" t="s">
        <v>39</v>
      </c>
      <c r="B12" s="6" t="s">
        <v>40</v>
      </c>
      <c r="C12" s="6" t="s">
        <v>41</v>
      </c>
      <c r="D12" s="6" t="s">
        <v>23</v>
      </c>
      <c r="E12" s="6" t="s">
        <v>27</v>
      </c>
      <c r="F12" s="7" t="n">
        <v>46160</v>
      </c>
      <c r="G12" s="7" t="n">
        <v>46206</v>
      </c>
      <c r="H12" s="33"/>
      <c r="I12" s="30"/>
      <c r="J12" s="36" t="s">
        <v>41</v>
      </c>
      <c r="K12" s="37"/>
      <c r="L12" s="37"/>
      <c r="M12" s="37"/>
      <c r="N12" s="37"/>
      <c r="O12" s="37"/>
      <c r="P12" s="37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customFormat="false" ht="27.75" hidden="false" customHeight="true" outlineLevel="0" collapsed="false">
      <c r="A13" s="6" t="s">
        <v>43</v>
      </c>
      <c r="B13" s="6" t="s">
        <v>44</v>
      </c>
      <c r="C13" s="6" t="s">
        <v>41</v>
      </c>
      <c r="D13" s="6" t="s">
        <v>45</v>
      </c>
      <c r="E13" s="6" t="s">
        <v>46</v>
      </c>
      <c r="F13" s="7" t="n">
        <v>46167</v>
      </c>
      <c r="G13" s="7" t="n">
        <v>46248</v>
      </c>
      <c r="H13" s="33"/>
      <c r="I13" s="30"/>
      <c r="J13" s="30"/>
      <c r="K13" s="36" t="s">
        <v>41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0"/>
      <c r="X13" s="30"/>
      <c r="Y13" s="30"/>
      <c r="Z13" s="30"/>
      <c r="AA13" s="30"/>
    </row>
    <row r="14" customFormat="false" ht="27.75" hidden="false" customHeight="true" outlineLevel="0" collapsed="false">
      <c r="A14" s="6" t="s">
        <v>48</v>
      </c>
      <c r="B14" s="6" t="s">
        <v>49</v>
      </c>
      <c r="C14" s="6" t="s">
        <v>50</v>
      </c>
      <c r="D14" s="6" t="s">
        <v>23</v>
      </c>
      <c r="E14" s="6" t="s">
        <v>51</v>
      </c>
      <c r="F14" s="7" t="n">
        <v>46174</v>
      </c>
      <c r="G14" s="7" t="n">
        <v>46262</v>
      </c>
      <c r="H14" s="33"/>
      <c r="I14" s="30"/>
      <c r="J14" s="30"/>
      <c r="K14" s="30"/>
      <c r="L14" s="38" t="s">
        <v>50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0"/>
      <c r="Z14" s="30"/>
      <c r="AA14" s="30"/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60"/>
  </cols>
  <sheetData>
    <row r="1" customFormat="false" ht="19.7" hidden="false" customHeight="false" outlineLevel="0" collapsed="false">
      <c r="A1" s="20" t="s">
        <v>75</v>
      </c>
      <c r="B1" s="20"/>
      <c r="C1" s="20"/>
      <c r="D1" s="20"/>
      <c r="E1" s="20"/>
      <c r="F1" s="20"/>
      <c r="G1" s="20"/>
      <c r="H1" s="20"/>
    </row>
    <row r="3" customFormat="false" ht="15" hidden="false" customHeight="fals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76</v>
      </c>
    </row>
    <row r="4" customFormat="false" ht="49.5" hidden="false" customHeight="true" outlineLevel="0" collapsed="false">
      <c r="A4" s="40" t="s">
        <v>14</v>
      </c>
      <c r="B4" s="40" t="s">
        <v>15</v>
      </c>
      <c r="C4" s="40" t="s">
        <v>16</v>
      </c>
      <c r="D4" s="40" t="s">
        <v>17</v>
      </c>
      <c r="E4" s="40" t="s">
        <v>18</v>
      </c>
      <c r="F4" s="40" t="s">
        <v>19</v>
      </c>
      <c r="G4" s="41" t="n">
        <v>46146</v>
      </c>
      <c r="H4" s="41" t="n">
        <v>46164</v>
      </c>
      <c r="I4" s="40" t="s">
        <v>77</v>
      </c>
    </row>
    <row r="5" customFormat="false" ht="49.5" hidden="false" customHeight="true" outlineLevel="0" collapsed="false">
      <c r="A5" s="40" t="s">
        <v>20</v>
      </c>
      <c r="B5" s="40" t="s">
        <v>21</v>
      </c>
      <c r="C5" s="40" t="s">
        <v>22</v>
      </c>
      <c r="D5" s="40" t="s">
        <v>23</v>
      </c>
      <c r="E5" s="40" t="s">
        <v>18</v>
      </c>
      <c r="F5" s="40" t="s">
        <v>24</v>
      </c>
      <c r="G5" s="41" t="n">
        <v>46146</v>
      </c>
      <c r="H5" s="41" t="n">
        <v>46234</v>
      </c>
      <c r="I5" s="40" t="s">
        <v>78</v>
      </c>
    </row>
    <row r="6" customFormat="false" ht="49.5" hidden="false" customHeight="true" outlineLevel="0" collapsed="false">
      <c r="A6" s="40" t="s">
        <v>25</v>
      </c>
      <c r="B6" s="40" t="s">
        <v>26</v>
      </c>
      <c r="C6" s="40" t="s">
        <v>22</v>
      </c>
      <c r="D6" s="40" t="s">
        <v>23</v>
      </c>
      <c r="E6" s="40" t="s">
        <v>27</v>
      </c>
      <c r="F6" s="40" t="s">
        <v>28</v>
      </c>
      <c r="G6" s="41" t="n">
        <v>46146</v>
      </c>
      <c r="H6" s="41" t="n">
        <v>46157</v>
      </c>
      <c r="I6" s="40" t="s">
        <v>79</v>
      </c>
    </row>
    <row r="7" customFormat="false" ht="49.5" hidden="false" customHeight="true" outlineLevel="0" collapsed="false">
      <c r="A7" s="40" t="s">
        <v>29</v>
      </c>
      <c r="B7" s="40" t="s">
        <v>30</v>
      </c>
      <c r="C7" s="40" t="s">
        <v>22</v>
      </c>
      <c r="D7" s="40" t="s">
        <v>23</v>
      </c>
      <c r="E7" s="40" t="s">
        <v>27</v>
      </c>
      <c r="F7" s="40" t="s">
        <v>31</v>
      </c>
      <c r="G7" s="41" t="n">
        <v>46146</v>
      </c>
      <c r="H7" s="41" t="n">
        <v>46164</v>
      </c>
      <c r="I7" s="40" t="s">
        <v>80</v>
      </c>
    </row>
    <row r="8" customFormat="false" ht="49.5" hidden="false" customHeight="true" outlineLevel="0" collapsed="false">
      <c r="A8" s="40" t="s">
        <v>32</v>
      </c>
      <c r="B8" s="40" t="s">
        <v>33</v>
      </c>
      <c r="C8" s="40" t="s">
        <v>34</v>
      </c>
      <c r="D8" s="40" t="s">
        <v>17</v>
      </c>
      <c r="E8" s="40" t="s">
        <v>27</v>
      </c>
      <c r="F8" s="40" t="s">
        <v>35</v>
      </c>
      <c r="G8" s="41" t="n">
        <v>46153</v>
      </c>
      <c r="H8" s="41" t="n">
        <v>46206</v>
      </c>
      <c r="I8" s="40" t="s">
        <v>81</v>
      </c>
    </row>
    <row r="9" customFormat="false" ht="49.5" hidden="false" customHeight="true" outlineLevel="0" collapsed="false">
      <c r="A9" s="40" t="s">
        <v>36</v>
      </c>
      <c r="B9" s="40" t="s">
        <v>37</v>
      </c>
      <c r="C9" s="40" t="s">
        <v>34</v>
      </c>
      <c r="D9" s="40" t="s">
        <v>23</v>
      </c>
      <c r="E9" s="40" t="s">
        <v>27</v>
      </c>
      <c r="F9" s="40" t="s">
        <v>38</v>
      </c>
      <c r="G9" s="41" t="n">
        <v>46153</v>
      </c>
      <c r="H9" s="41" t="n">
        <v>46192</v>
      </c>
      <c r="I9" s="40" t="s">
        <v>82</v>
      </c>
    </row>
    <row r="10" customFormat="false" ht="49.5" hidden="false" customHeight="true" outlineLevel="0" collapsed="false">
      <c r="A10" s="40" t="s">
        <v>39</v>
      </c>
      <c r="B10" s="40" t="s">
        <v>40</v>
      </c>
      <c r="C10" s="40" t="s">
        <v>41</v>
      </c>
      <c r="D10" s="40" t="s">
        <v>23</v>
      </c>
      <c r="E10" s="40" t="s">
        <v>27</v>
      </c>
      <c r="F10" s="40" t="s">
        <v>42</v>
      </c>
      <c r="G10" s="41" t="n">
        <v>46160</v>
      </c>
      <c r="H10" s="41" t="n">
        <v>46206</v>
      </c>
      <c r="I10" s="40" t="s">
        <v>83</v>
      </c>
    </row>
    <row r="11" customFormat="false" ht="49.5" hidden="false" customHeight="true" outlineLevel="0" collapsed="false">
      <c r="A11" s="40" t="s">
        <v>43</v>
      </c>
      <c r="B11" s="40" t="s">
        <v>44</v>
      </c>
      <c r="C11" s="40" t="s">
        <v>41</v>
      </c>
      <c r="D11" s="40" t="s">
        <v>45</v>
      </c>
      <c r="E11" s="40" t="s">
        <v>46</v>
      </c>
      <c r="F11" s="40" t="s">
        <v>47</v>
      </c>
      <c r="G11" s="41" t="n">
        <v>46167</v>
      </c>
      <c r="H11" s="41" t="n">
        <v>46248</v>
      </c>
      <c r="I11" s="40" t="s">
        <v>84</v>
      </c>
    </row>
    <row r="12" customFormat="false" ht="49.5" hidden="false" customHeight="true" outlineLevel="0" collapsed="false">
      <c r="A12" s="40" t="s">
        <v>48</v>
      </c>
      <c r="B12" s="40" t="s">
        <v>49</v>
      </c>
      <c r="C12" s="40" t="s">
        <v>50</v>
      </c>
      <c r="D12" s="40" t="s">
        <v>23</v>
      </c>
      <c r="E12" s="40" t="s">
        <v>51</v>
      </c>
      <c r="F12" s="40" t="s">
        <v>52</v>
      </c>
      <c r="G12" s="41" t="n">
        <v>46174</v>
      </c>
      <c r="H12" s="41" t="n">
        <v>46262</v>
      </c>
      <c r="I12" s="40" t="s">
        <v>85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20" t="s">
        <v>86</v>
      </c>
      <c r="B1" s="20"/>
      <c r="C1" s="20"/>
      <c r="D1" s="20"/>
      <c r="E1" s="20"/>
      <c r="F1" s="20"/>
      <c r="G1" s="20"/>
    </row>
    <row r="3" customFormat="false" ht="15" hidden="false" customHeight="false" outlineLevel="0" collapsed="false">
      <c r="A3" s="5" t="s">
        <v>87</v>
      </c>
      <c r="B3" s="5" t="s">
        <v>88</v>
      </c>
      <c r="C3" s="5" t="s">
        <v>9</v>
      </c>
      <c r="D3" s="5" t="s">
        <v>89</v>
      </c>
      <c r="E3" s="5" t="s">
        <v>10</v>
      </c>
      <c r="F3" s="5" t="s">
        <v>90</v>
      </c>
      <c r="G3" s="5" t="s">
        <v>91</v>
      </c>
    </row>
    <row r="4" customFormat="false" ht="37.5" hidden="false" customHeight="true" outlineLevel="0" collapsed="false">
      <c r="A4" s="40" t="s">
        <v>14</v>
      </c>
      <c r="B4" s="40" t="s">
        <v>92</v>
      </c>
      <c r="C4" s="40" t="s">
        <v>23</v>
      </c>
      <c r="D4" s="41" t="n">
        <v>46157</v>
      </c>
      <c r="E4" s="40" t="s">
        <v>27</v>
      </c>
      <c r="F4" s="42" t="n">
        <f aca="true">D4-TODAY()</f>
        <v>8</v>
      </c>
      <c r="G4" s="43" t="s">
        <v>93</v>
      </c>
    </row>
    <row r="5" customFormat="false" ht="37.5" hidden="false" customHeight="true" outlineLevel="0" collapsed="false">
      <c r="A5" s="40" t="s">
        <v>14</v>
      </c>
      <c r="B5" s="40" t="s">
        <v>94</v>
      </c>
      <c r="C5" s="40" t="s">
        <v>95</v>
      </c>
      <c r="D5" s="41" t="n">
        <v>46164</v>
      </c>
      <c r="E5" s="40" t="s">
        <v>27</v>
      </c>
      <c r="F5" s="42" t="n">
        <f aca="true">D5-TODAY()</f>
        <v>15</v>
      </c>
      <c r="G5" s="43" t="s">
        <v>96</v>
      </c>
    </row>
    <row r="6" customFormat="false" ht="37.5" hidden="false" customHeight="true" outlineLevel="0" collapsed="false">
      <c r="A6" s="40" t="s">
        <v>20</v>
      </c>
      <c r="B6" s="40" t="s">
        <v>97</v>
      </c>
      <c r="C6" s="40" t="s">
        <v>23</v>
      </c>
      <c r="D6" s="41" t="n">
        <v>46173</v>
      </c>
      <c r="E6" s="40" t="s">
        <v>18</v>
      </c>
      <c r="F6" s="42" t="n">
        <f aca="true">D6-TODAY()</f>
        <v>24</v>
      </c>
      <c r="G6" s="43" t="s">
        <v>98</v>
      </c>
    </row>
    <row r="7" customFormat="false" ht="37.5" hidden="false" customHeight="true" outlineLevel="0" collapsed="false">
      <c r="A7" s="40" t="s">
        <v>20</v>
      </c>
      <c r="B7" s="40" t="s">
        <v>99</v>
      </c>
      <c r="C7" s="40" t="s">
        <v>100</v>
      </c>
      <c r="D7" s="41" t="n">
        <v>46188</v>
      </c>
      <c r="E7" s="40" t="s">
        <v>27</v>
      </c>
      <c r="F7" s="42" t="n">
        <f aca="true">D7-TODAY()</f>
        <v>39</v>
      </c>
      <c r="G7" s="43" t="s">
        <v>101</v>
      </c>
    </row>
    <row r="8" customFormat="false" ht="37.5" hidden="false" customHeight="true" outlineLevel="0" collapsed="false">
      <c r="A8" s="40" t="s">
        <v>20</v>
      </c>
      <c r="B8" s="40" t="s">
        <v>102</v>
      </c>
      <c r="C8" s="40" t="s">
        <v>23</v>
      </c>
      <c r="D8" s="41" t="n">
        <v>46203</v>
      </c>
      <c r="E8" s="40" t="s">
        <v>27</v>
      </c>
      <c r="F8" s="42" t="n">
        <f aca="true">D8-TODAY()</f>
        <v>54</v>
      </c>
      <c r="G8" s="43" t="s">
        <v>103</v>
      </c>
    </row>
    <row r="9" customFormat="false" ht="37.5" hidden="false" customHeight="true" outlineLevel="0" collapsed="false">
      <c r="A9" s="40" t="s">
        <v>25</v>
      </c>
      <c r="B9" s="40" t="s">
        <v>104</v>
      </c>
      <c r="C9" s="40" t="s">
        <v>23</v>
      </c>
      <c r="D9" s="41" t="n">
        <v>46156</v>
      </c>
      <c r="E9" s="40" t="s">
        <v>27</v>
      </c>
      <c r="F9" s="42" t="n">
        <f aca="true">D9-TODAY()</f>
        <v>7</v>
      </c>
      <c r="G9" s="43" t="s">
        <v>105</v>
      </c>
    </row>
    <row r="10" customFormat="false" ht="37.5" hidden="false" customHeight="true" outlineLevel="0" collapsed="false">
      <c r="A10" s="40" t="s">
        <v>25</v>
      </c>
      <c r="B10" s="40" t="s">
        <v>106</v>
      </c>
      <c r="C10" s="40" t="s">
        <v>23</v>
      </c>
      <c r="D10" s="41" t="n">
        <v>46163</v>
      </c>
      <c r="E10" s="40" t="s">
        <v>27</v>
      </c>
      <c r="F10" s="42" t="n">
        <f aca="true">D10-TODAY()</f>
        <v>14</v>
      </c>
      <c r="G10" s="43" t="s">
        <v>107</v>
      </c>
    </row>
    <row r="11" customFormat="false" ht="37.5" hidden="false" customHeight="true" outlineLevel="0" collapsed="false">
      <c r="A11" s="40" t="s">
        <v>25</v>
      </c>
      <c r="B11" s="40" t="s">
        <v>108</v>
      </c>
      <c r="C11" s="40" t="s">
        <v>23</v>
      </c>
      <c r="D11" s="41" t="n">
        <v>46170</v>
      </c>
      <c r="E11" s="40" t="s">
        <v>27</v>
      </c>
      <c r="F11" s="42" t="n">
        <f aca="true">D11-TODAY()</f>
        <v>21</v>
      </c>
      <c r="G11" s="43" t="s">
        <v>109</v>
      </c>
    </row>
    <row r="12" customFormat="false" ht="37.5" hidden="false" customHeight="true" outlineLevel="0" collapsed="false">
      <c r="A12" s="40" t="s">
        <v>29</v>
      </c>
      <c r="B12" s="40" t="s">
        <v>110</v>
      </c>
      <c r="C12" s="40" t="s">
        <v>23</v>
      </c>
      <c r="D12" s="41" t="n">
        <v>46163</v>
      </c>
      <c r="E12" s="40" t="s">
        <v>27</v>
      </c>
      <c r="F12" s="42" t="n">
        <f aca="true">D12-TODAY()</f>
        <v>14</v>
      </c>
      <c r="G12" s="43" t="s">
        <v>111</v>
      </c>
    </row>
    <row r="13" customFormat="false" ht="37.5" hidden="false" customHeight="true" outlineLevel="0" collapsed="false">
      <c r="A13" s="40" t="s">
        <v>29</v>
      </c>
      <c r="B13" s="40" t="s">
        <v>112</v>
      </c>
      <c r="C13" s="40" t="s">
        <v>23</v>
      </c>
      <c r="D13" s="41" t="n">
        <v>46177</v>
      </c>
      <c r="E13" s="40" t="s">
        <v>27</v>
      </c>
      <c r="F13" s="42" t="n">
        <f aca="true">D13-TODAY()</f>
        <v>28</v>
      </c>
      <c r="G13" s="43" t="s">
        <v>113</v>
      </c>
    </row>
    <row r="14" customFormat="false" ht="37.5" hidden="false" customHeight="true" outlineLevel="0" collapsed="false">
      <c r="A14" s="40" t="s">
        <v>32</v>
      </c>
      <c r="B14" s="40" t="s">
        <v>114</v>
      </c>
      <c r="C14" s="40" t="s">
        <v>23</v>
      </c>
      <c r="D14" s="41" t="n">
        <v>46163</v>
      </c>
      <c r="E14" s="40" t="s">
        <v>27</v>
      </c>
      <c r="F14" s="42" t="n">
        <f aca="true">D14-TODAY()</f>
        <v>14</v>
      </c>
      <c r="G14" s="43" t="s">
        <v>115</v>
      </c>
    </row>
    <row r="15" customFormat="false" ht="37.5" hidden="false" customHeight="true" outlineLevel="0" collapsed="false">
      <c r="A15" s="40" t="s">
        <v>32</v>
      </c>
      <c r="B15" s="40" t="s">
        <v>116</v>
      </c>
      <c r="C15" s="40" t="s">
        <v>17</v>
      </c>
      <c r="D15" s="41" t="n">
        <v>46163</v>
      </c>
      <c r="E15" s="40" t="s">
        <v>27</v>
      </c>
      <c r="F15" s="42" t="n">
        <f aca="true">D15-TODAY()</f>
        <v>14</v>
      </c>
      <c r="G15" s="43" t="s">
        <v>117</v>
      </c>
    </row>
    <row r="16" customFormat="false" ht="37.5" hidden="false" customHeight="true" outlineLevel="0" collapsed="false">
      <c r="A16" s="40" t="s">
        <v>32</v>
      </c>
      <c r="B16" s="40" t="s">
        <v>118</v>
      </c>
      <c r="C16" s="40" t="s">
        <v>100</v>
      </c>
      <c r="D16" s="41" t="n">
        <v>46188</v>
      </c>
      <c r="E16" s="40" t="s">
        <v>27</v>
      </c>
      <c r="F16" s="42" t="n">
        <f aca="true">D16-TODAY()</f>
        <v>39</v>
      </c>
      <c r="G16" s="43" t="s">
        <v>119</v>
      </c>
    </row>
    <row r="17" customFormat="false" ht="37.5" hidden="false" customHeight="true" outlineLevel="0" collapsed="false">
      <c r="A17" s="40" t="s">
        <v>32</v>
      </c>
      <c r="B17" s="40" t="s">
        <v>120</v>
      </c>
      <c r="C17" s="40" t="s">
        <v>121</v>
      </c>
      <c r="D17" s="41" t="n">
        <v>46203</v>
      </c>
      <c r="E17" s="40" t="s">
        <v>27</v>
      </c>
      <c r="F17" s="42" t="n">
        <f aca="true">D17-TODAY()</f>
        <v>54</v>
      </c>
      <c r="G17" s="43" t="s">
        <v>122</v>
      </c>
    </row>
    <row r="18" customFormat="false" ht="37.5" hidden="false" customHeight="true" outlineLevel="0" collapsed="false">
      <c r="A18" s="40" t="s">
        <v>36</v>
      </c>
      <c r="B18" s="40" t="s">
        <v>123</v>
      </c>
      <c r="C18" s="40" t="s">
        <v>95</v>
      </c>
      <c r="D18" s="41" t="n">
        <v>46163</v>
      </c>
      <c r="E18" s="40" t="s">
        <v>27</v>
      </c>
      <c r="F18" s="42" t="n">
        <f aca="true">D18-TODAY()</f>
        <v>14</v>
      </c>
      <c r="G18" s="43" t="s">
        <v>124</v>
      </c>
    </row>
    <row r="19" customFormat="false" ht="37.5" hidden="false" customHeight="true" outlineLevel="0" collapsed="false">
      <c r="A19" s="40" t="s">
        <v>36</v>
      </c>
      <c r="B19" s="40" t="s">
        <v>125</v>
      </c>
      <c r="C19" s="40" t="s">
        <v>23</v>
      </c>
      <c r="D19" s="41" t="n">
        <v>46173</v>
      </c>
      <c r="E19" s="40" t="s">
        <v>27</v>
      </c>
      <c r="F19" s="42" t="n">
        <f aca="true">D19-TODAY()</f>
        <v>24</v>
      </c>
      <c r="G19" s="43" t="s">
        <v>126</v>
      </c>
    </row>
    <row r="20" customFormat="false" ht="37.5" hidden="false" customHeight="true" outlineLevel="0" collapsed="false">
      <c r="A20" s="40" t="s">
        <v>36</v>
      </c>
      <c r="B20" s="40" t="s">
        <v>127</v>
      </c>
      <c r="C20" s="40" t="s">
        <v>23</v>
      </c>
      <c r="D20" s="41" t="n">
        <v>46173</v>
      </c>
      <c r="E20" s="40" t="s">
        <v>27</v>
      </c>
      <c r="F20" s="42" t="n">
        <f aca="true">D20-TODAY()</f>
        <v>24</v>
      </c>
      <c r="G20" s="43" t="s">
        <v>128</v>
      </c>
    </row>
    <row r="21" customFormat="false" ht="37.5" hidden="false" customHeight="true" outlineLevel="0" collapsed="false">
      <c r="A21" s="40" t="s">
        <v>36</v>
      </c>
      <c r="B21" s="40" t="s">
        <v>129</v>
      </c>
      <c r="C21" s="40" t="s">
        <v>121</v>
      </c>
      <c r="D21" s="41" t="n">
        <v>46180</v>
      </c>
      <c r="E21" s="40" t="s">
        <v>27</v>
      </c>
      <c r="F21" s="42" t="n">
        <f aca="true">D21-TODAY()</f>
        <v>31</v>
      </c>
      <c r="G21" s="43" t="s">
        <v>130</v>
      </c>
    </row>
    <row r="22" customFormat="false" ht="37.5" hidden="false" customHeight="true" outlineLevel="0" collapsed="false">
      <c r="A22" s="40" t="s">
        <v>36</v>
      </c>
      <c r="B22" s="40" t="s">
        <v>131</v>
      </c>
      <c r="C22" s="40" t="s">
        <v>23</v>
      </c>
      <c r="D22" s="41" t="n">
        <v>46203</v>
      </c>
      <c r="E22" s="40" t="s">
        <v>27</v>
      </c>
      <c r="F22" s="42" t="n">
        <f aca="true">D22-TODAY()</f>
        <v>54</v>
      </c>
      <c r="G22" s="43" t="s">
        <v>132</v>
      </c>
    </row>
    <row r="23" customFormat="false" ht="37.5" hidden="false" customHeight="true" outlineLevel="0" collapsed="false">
      <c r="A23" s="40" t="s">
        <v>39</v>
      </c>
      <c r="B23" s="40" t="s">
        <v>133</v>
      </c>
      <c r="C23" s="40" t="s">
        <v>23</v>
      </c>
      <c r="D23" s="41" t="n">
        <v>46173</v>
      </c>
      <c r="E23" s="40" t="s">
        <v>27</v>
      </c>
      <c r="F23" s="42" t="n">
        <f aca="true">D23-TODAY()</f>
        <v>24</v>
      </c>
      <c r="G23" s="43" t="s">
        <v>134</v>
      </c>
    </row>
    <row r="24" customFormat="false" ht="37.5" hidden="false" customHeight="true" outlineLevel="0" collapsed="false">
      <c r="A24" s="40" t="s">
        <v>39</v>
      </c>
      <c r="B24" s="40" t="s">
        <v>135</v>
      </c>
      <c r="C24" s="40" t="s">
        <v>100</v>
      </c>
      <c r="D24" s="41" t="n">
        <v>46188</v>
      </c>
      <c r="E24" s="40" t="s">
        <v>27</v>
      </c>
      <c r="F24" s="42" t="n">
        <f aca="true">D24-TODAY()</f>
        <v>39</v>
      </c>
      <c r="G24" s="43" t="s">
        <v>136</v>
      </c>
    </row>
    <row r="25" customFormat="false" ht="37.5" hidden="false" customHeight="true" outlineLevel="0" collapsed="false">
      <c r="A25" s="40" t="s">
        <v>39</v>
      </c>
      <c r="B25" s="40" t="s">
        <v>137</v>
      </c>
      <c r="C25" s="40" t="s">
        <v>23</v>
      </c>
      <c r="D25" s="41" t="n">
        <v>46203</v>
      </c>
      <c r="E25" s="40" t="s">
        <v>27</v>
      </c>
      <c r="F25" s="42" t="n">
        <f aca="true">D25-TODAY()</f>
        <v>54</v>
      </c>
      <c r="G25" s="43" t="s">
        <v>138</v>
      </c>
    </row>
    <row r="26" customFormat="false" ht="37.5" hidden="false" customHeight="true" outlineLevel="0" collapsed="false">
      <c r="A26" s="40" t="s">
        <v>43</v>
      </c>
      <c r="B26" s="40" t="s">
        <v>139</v>
      </c>
      <c r="C26" s="40" t="s">
        <v>23</v>
      </c>
      <c r="D26" s="41" t="n">
        <v>46188</v>
      </c>
      <c r="E26" s="40" t="s">
        <v>27</v>
      </c>
      <c r="F26" s="42" t="n">
        <f aca="true">D26-TODAY()</f>
        <v>39</v>
      </c>
      <c r="G26" s="43" t="s">
        <v>140</v>
      </c>
    </row>
    <row r="27" customFormat="false" ht="37.5" hidden="false" customHeight="true" outlineLevel="0" collapsed="false">
      <c r="A27" s="40" t="s">
        <v>43</v>
      </c>
      <c r="B27" s="40" t="s">
        <v>141</v>
      </c>
      <c r="C27" s="40" t="s">
        <v>100</v>
      </c>
      <c r="D27" s="41" t="n">
        <v>46203</v>
      </c>
      <c r="E27" s="40" t="s">
        <v>27</v>
      </c>
      <c r="F27" s="42" t="n">
        <f aca="true">D27-TODAY()</f>
        <v>54</v>
      </c>
      <c r="G27" s="43" t="s">
        <v>142</v>
      </c>
    </row>
    <row r="28" customFormat="false" ht="37.5" hidden="false" customHeight="true" outlineLevel="0" collapsed="false">
      <c r="A28" s="40" t="s">
        <v>43</v>
      </c>
      <c r="B28" s="40" t="s">
        <v>143</v>
      </c>
      <c r="C28" s="40" t="s">
        <v>23</v>
      </c>
      <c r="D28" s="41" t="n">
        <v>46234</v>
      </c>
      <c r="E28" s="40" t="s">
        <v>27</v>
      </c>
      <c r="F28" s="42" t="n">
        <f aca="true">D28-TODAY()</f>
        <v>85</v>
      </c>
      <c r="G28" s="43" t="s">
        <v>144</v>
      </c>
    </row>
    <row r="29" customFormat="false" ht="37.5" hidden="false" customHeight="true" outlineLevel="0" collapsed="false">
      <c r="A29" s="40" t="s">
        <v>43</v>
      </c>
      <c r="B29" s="40" t="s">
        <v>145</v>
      </c>
      <c r="C29" s="40" t="s">
        <v>23</v>
      </c>
      <c r="D29" s="41" t="n">
        <v>46249</v>
      </c>
      <c r="E29" s="40" t="s">
        <v>27</v>
      </c>
      <c r="F29" s="42" t="n">
        <f aca="true">D29-TODAY()</f>
        <v>100</v>
      </c>
      <c r="G29" s="43" t="s">
        <v>146</v>
      </c>
    </row>
    <row r="30" customFormat="false" ht="37.5" hidden="false" customHeight="true" outlineLevel="0" collapsed="false">
      <c r="A30" s="40" t="s">
        <v>48</v>
      </c>
      <c r="B30" s="40" t="s">
        <v>147</v>
      </c>
      <c r="C30" s="40" t="s">
        <v>23</v>
      </c>
      <c r="D30" s="40" t="s">
        <v>24</v>
      </c>
      <c r="E30" s="40" t="s">
        <v>18</v>
      </c>
      <c r="F30" s="42" t="s">
        <v>148</v>
      </c>
      <c r="G30" s="43" t="s">
        <v>149</v>
      </c>
    </row>
    <row r="31" customFormat="false" ht="37.5" hidden="false" customHeight="true" outlineLevel="0" collapsed="false">
      <c r="A31" s="40" t="s">
        <v>48</v>
      </c>
      <c r="B31" s="40" t="s">
        <v>150</v>
      </c>
      <c r="C31" s="40" t="s">
        <v>23</v>
      </c>
      <c r="D31" s="41" t="n">
        <v>46218</v>
      </c>
      <c r="E31" s="40" t="s">
        <v>27</v>
      </c>
      <c r="F31" s="42" t="n">
        <f aca="true">D31-TODAY()</f>
        <v>69</v>
      </c>
      <c r="G31" s="43" t="s">
        <v>151</v>
      </c>
    </row>
    <row r="32" customFormat="false" ht="37.5" hidden="false" customHeight="true" outlineLevel="0" collapsed="false">
      <c r="A32" s="40" t="s">
        <v>48</v>
      </c>
      <c r="B32" s="40" t="s">
        <v>152</v>
      </c>
      <c r="C32" s="40" t="s">
        <v>23</v>
      </c>
      <c r="D32" s="41" t="n">
        <v>46295</v>
      </c>
      <c r="E32" s="40" t="s">
        <v>27</v>
      </c>
      <c r="F32" s="42" t="n">
        <f aca="true">D32-TODAY()</f>
        <v>146</v>
      </c>
      <c r="G32" s="43" t="s">
        <v>153</v>
      </c>
    </row>
  </sheetData>
  <autoFilter ref="A3:G32"/>
  <mergeCells count="1">
    <mergeCell ref="A1:G1"/>
  </mergeCells>
  <conditionalFormatting sqref="E4:E32">
    <cfRule type="expression" priority="2" aboveAverage="0" equalAverage="0" bottom="0" percent="0" rank="0" text="" dxfId="5">
      <formula>$E4="Done"</formula>
    </cfRule>
    <cfRule type="expression" priority="3" aboveAverage="0" equalAverage="0" bottom="0" percent="0" rank="0" text="" dxfId="6">
      <formula>$E4="In Progress"</formula>
    </cfRule>
    <cfRule type="expression" priority="4" aboveAverage="0" equalAverage="0" bottom="0" percent="0" rank="0" text="" dxfId="7">
      <formula>$E4="Blocked"</formula>
    </cfRule>
    <cfRule type="expression" priority="5" aboveAverage="0" equalAverage="0" bottom="0" percent="0" rank="0" text="" dxfId="8">
      <formula>$E4="On Hold"</formula>
    </cfRule>
  </conditionalFormatting>
  <conditionalFormatting sqref="F4:F32">
    <cfRule type="expression" priority="6" aboveAverage="0" equalAverage="0" bottom="0" percent="0" rank="0" text="" dxfId="9">
      <formula>AND(ISNUMBER($F4),$F4&lt;0,$E4&lt;&gt;"Done")</formula>
    </cfRule>
    <cfRule type="expression" priority="7" aboveAverage="0" equalAverage="0" bottom="0" percent="0" rank="0" text="" dxfId="6">
      <formula>AND(ISNUMBER($F4),$F4&gt;=0,$F4&lt;=7,$E4&lt;&gt;"Done")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2026-05-07T08:00:52Z</dcterms:created>
  <dc:creator>openpyxl</dc:creator>
  <dc:description/>
  <dc:language>en-US</dc:language>
  <cp:lastModifiedBy/>
  <dcterms:modified xsi:type="dcterms:W3CDTF">2026-05-07T08:00:52Z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